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ther\Documents\"/>
    </mc:Choice>
  </mc:AlternateContent>
  <xr:revisionPtr revIDLastSave="0" documentId="13_ncr:1_{E9FBEA20-152F-4188-ABAF-AB2A20A6AE06}" xr6:coauthVersionLast="47" xr6:coauthVersionMax="47" xr10:uidLastSave="{00000000-0000-0000-0000-000000000000}"/>
  <bookViews>
    <workbookView xWindow="-120" yWindow="-120" windowWidth="29040" windowHeight="15720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</calcChain>
</file>

<file path=xl/sharedStrings.xml><?xml version="1.0" encoding="utf-8"?>
<sst xmlns="http://schemas.openxmlformats.org/spreadsheetml/2006/main" count="95" uniqueCount="8">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</sst>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topLeftCell="A64" workbookViewId="0">
      <selection activeCell="E90" sqref="E90"/>
    </sheetView>
  </sheetViews>
  <sheetFormatPr baseColWidth="10" defaultRowHeight="15" x14ac:dyDescent="0.25"/>
  <cols>
    <col min="1" max="1" width="31.85546875" customWidth="1"/>
    <col min="2" max="2" width="20.85546875" customWidth="1"/>
    <col min="3" max="3" width="19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tr">
        <f>HYPERLINK("..\subset puntuacion\Bent Knee Surface Arch Position\IMG_1388.JPG", "Ver Foto")</f>
        <v>Ver Foto</v>
      </c>
      <c r="C2" s="2">
        <v>5.5</v>
      </c>
    </row>
    <row r="3" spans="1:3" x14ac:dyDescent="0.25">
      <c r="A3" s="2" t="s">
        <v>3</v>
      </c>
      <c r="B3" s="3" t="str">
        <f>HYPERLINK("..\subset puntuacion\Bent Knee Surface Arch Position\IMG_1395.JPG", "Ver Foto")</f>
        <v>Ver Foto</v>
      </c>
      <c r="C3" s="2">
        <v>6.6</v>
      </c>
    </row>
    <row r="4" spans="1:3" x14ac:dyDescent="0.25">
      <c r="A4" s="2" t="s">
        <v>3</v>
      </c>
      <c r="B4" s="3" t="str">
        <f>HYPERLINK("..\subset puntuacion\Bent Knee Surface Arch Position\IMG_1398.JPG", "Ver Foto")</f>
        <v>Ver Foto</v>
      </c>
      <c r="C4" s="2">
        <v>7.5</v>
      </c>
    </row>
    <row r="5" spans="1:3" x14ac:dyDescent="0.25">
      <c r="A5" s="2" t="s">
        <v>3</v>
      </c>
      <c r="B5" s="3" t="str">
        <f>HYPERLINK("..\subset puntuacion\Bent Knee Surface Arch Position\IMG_1400.JPG", "Ver Foto")</f>
        <v>Ver Foto</v>
      </c>
      <c r="C5" s="2">
        <v>8.5</v>
      </c>
    </row>
    <row r="6" spans="1:3" x14ac:dyDescent="0.25">
      <c r="A6" s="2" t="s">
        <v>3</v>
      </c>
      <c r="B6" s="3" t="str">
        <f>HYPERLINK("..\subset puntuacion\Bent Knee Surface Arch Position\IMG_1425.JPG", "Ver Foto")</f>
        <v>Ver Foto</v>
      </c>
      <c r="C6" s="2">
        <v>3.7</v>
      </c>
    </row>
    <row r="7" spans="1:3" x14ac:dyDescent="0.25">
      <c r="A7" s="2" t="s">
        <v>3</v>
      </c>
      <c r="B7" s="3" t="str">
        <f>HYPERLINK("..\subset puntuacion\Bent Knee Surface Arch Position\IMG_1427.JPG", "Ver Foto")</f>
        <v>Ver Foto</v>
      </c>
      <c r="C7" s="2">
        <v>5.7</v>
      </c>
    </row>
    <row r="8" spans="1:3" x14ac:dyDescent="0.25">
      <c r="A8" s="2" t="s">
        <v>3</v>
      </c>
      <c r="B8" s="3" t="str">
        <f>HYPERLINK("..\subset puntuacion\Bent Knee Surface Arch Position\IMG_1430.JPG", "Ver Foto")</f>
        <v>Ver Foto</v>
      </c>
      <c r="C8" s="2">
        <v>5.7</v>
      </c>
    </row>
    <row r="9" spans="1:3" x14ac:dyDescent="0.25">
      <c r="A9" s="2" t="s">
        <v>3</v>
      </c>
      <c r="B9" s="3" t="str">
        <f>HYPERLINK("..\subset puntuacion\Bent Knee Surface Arch Position\IMG_1433.JPG", "Ver Foto")</f>
        <v>Ver Foto</v>
      </c>
      <c r="C9" s="2">
        <v>6.4</v>
      </c>
    </row>
    <row r="10" spans="1:3" x14ac:dyDescent="0.25">
      <c r="A10" s="2" t="s">
        <v>3</v>
      </c>
      <c r="B10" s="3" t="str">
        <f>HYPERLINK("..\subset puntuacion\Bent Knee Surface Arch Position\IMG_1434.JPG", "Ver Foto")</f>
        <v>Ver Foto</v>
      </c>
      <c r="C10" s="2">
        <v>6.5</v>
      </c>
    </row>
    <row r="11" spans="1:3" x14ac:dyDescent="0.25">
      <c r="A11" s="2" t="s">
        <v>3</v>
      </c>
      <c r="B11" s="3" t="str">
        <f>HYPERLINK("..\subset puntuacion\Bent Knee Surface Arch Position\IMG_1436.JPG", "Ver Foto")</f>
        <v>Ver Foto</v>
      </c>
      <c r="C11" s="2">
        <v>7</v>
      </c>
    </row>
    <row r="12" spans="1:3" x14ac:dyDescent="0.25">
      <c r="A12" s="2" t="s">
        <v>3</v>
      </c>
      <c r="B12" s="3" t="str">
        <f>HYPERLINK("..\subset puntuacion\Bent Knee Surface Arch Position\IMG_1514.JPG", "Ver Foto")</f>
        <v>Ver Foto</v>
      </c>
      <c r="C12" s="2">
        <v>4.5</v>
      </c>
    </row>
    <row r="13" spans="1:3" x14ac:dyDescent="0.25">
      <c r="A13" s="2" t="s">
        <v>3</v>
      </c>
      <c r="B13" s="3" t="str">
        <f>HYPERLINK("..\subset puntuacion\Bent Knee Surface Arch Position\IMG_1519.JPG", "Ver Foto")</f>
        <v>Ver Foto</v>
      </c>
      <c r="C13" s="2">
        <v>5.6</v>
      </c>
    </row>
    <row r="14" spans="1:3" x14ac:dyDescent="0.25">
      <c r="A14" s="2" t="s">
        <v>3</v>
      </c>
      <c r="B14" s="3" t="str">
        <f>HYPERLINK("..\subset puntuacion\Bent Knee Surface Arch Position\IMG_1520.JPG", "Ver Foto")</f>
        <v>Ver Foto</v>
      </c>
      <c r="C14" s="2">
        <v>6.5</v>
      </c>
    </row>
    <row r="15" spans="1:3" x14ac:dyDescent="0.25">
      <c r="A15" s="2" t="s">
        <v>3</v>
      </c>
      <c r="B15" s="3" t="str">
        <f>HYPERLINK("..\subset puntuacion\Bent Knee Surface Arch Position\IMG_1523.JPG", "Ver Foto")</f>
        <v>Ver Foto</v>
      </c>
      <c r="C15" s="2">
        <v>8</v>
      </c>
    </row>
    <row r="16" spans="1:3" x14ac:dyDescent="0.25">
      <c r="A16" s="4" t="s">
        <v>4</v>
      </c>
      <c r="B16" s="5" t="str">
        <f>HYPERLINK("..\subset puntuacion\Bent Knee Vertical\IMG_1266.JPG", "Ver Foto")</f>
        <v>Ver Foto</v>
      </c>
      <c r="C16" s="4">
        <v>3</v>
      </c>
    </row>
    <row r="17" spans="1:3" x14ac:dyDescent="0.25">
      <c r="A17" s="4" t="s">
        <v>4</v>
      </c>
      <c r="B17" s="5" t="str">
        <f>HYPERLINK("..\subset puntuacion\Bent Knee Vertical\IMG_1268.JPG", "Ver Foto")</f>
        <v>Ver Foto</v>
      </c>
      <c r="C17" s="4">
        <v>4</v>
      </c>
    </row>
    <row r="18" spans="1:3" x14ac:dyDescent="0.25">
      <c r="A18" s="4" t="s">
        <v>4</v>
      </c>
      <c r="B18" s="5" t="str">
        <f>HYPERLINK("..\subset puntuacion\Bent Knee Vertical\IMG_1269.JPG", "Ver Foto")</f>
        <v>Ver Foto</v>
      </c>
      <c r="C18" s="4">
        <v>4</v>
      </c>
    </row>
    <row r="19" spans="1:3" x14ac:dyDescent="0.25">
      <c r="A19" s="4" t="s">
        <v>4</v>
      </c>
      <c r="B19" s="5" t="str">
        <f>HYPERLINK("..\subset puntuacion\Bent Knee Vertical\IMG_1271.JPG", "Ver Foto")</f>
        <v>Ver Foto</v>
      </c>
      <c r="C19" s="4">
        <v>5.5</v>
      </c>
    </row>
    <row r="20" spans="1:3" x14ac:dyDescent="0.25">
      <c r="A20" s="4" t="s">
        <v>4</v>
      </c>
      <c r="B20" s="5" t="str">
        <f>HYPERLINK("..\subset puntuacion\Bent Knee Vertical\IMG_1274.JPG", "Ver Foto")</f>
        <v>Ver Foto</v>
      </c>
      <c r="C20" s="4">
        <v>5.7</v>
      </c>
    </row>
    <row r="21" spans="1:3" x14ac:dyDescent="0.25">
      <c r="A21" s="4" t="s">
        <v>4</v>
      </c>
      <c r="B21" s="5" t="str">
        <f>HYPERLINK("..\subset puntuacion\Bent Knee Vertical\IMG_1278.JPG", "Ver Foto")</f>
        <v>Ver Foto</v>
      </c>
      <c r="C21" s="4">
        <v>6.5</v>
      </c>
    </row>
    <row r="22" spans="1:3" x14ac:dyDescent="0.25">
      <c r="A22" s="4" t="s">
        <v>4</v>
      </c>
      <c r="B22" s="5" t="str">
        <f>HYPERLINK("..\subset puntuacion\Bent Knee Vertical\IMG_1279.JPG", "Ver Foto")</f>
        <v>Ver Foto</v>
      </c>
      <c r="C22" s="4">
        <v>6</v>
      </c>
    </row>
    <row r="23" spans="1:3" x14ac:dyDescent="0.25">
      <c r="A23" s="4" t="s">
        <v>4</v>
      </c>
      <c r="B23" s="5" t="str">
        <f>HYPERLINK("..\subset puntuacion\Bent Knee Vertical\IMG_1281.JPG", "Ver Foto")</f>
        <v>Ver Foto</v>
      </c>
      <c r="C23" s="4">
        <v>7.4</v>
      </c>
    </row>
    <row r="24" spans="1:3" x14ac:dyDescent="0.25">
      <c r="A24" s="4" t="s">
        <v>4</v>
      </c>
      <c r="B24" s="5" t="str">
        <f>HYPERLINK("..\subset puntuacion\Bent Knee Vertical\IMG_1304.JPG", "Ver Foto")</f>
        <v>Ver Foto</v>
      </c>
      <c r="C24" s="4">
        <v>4.5</v>
      </c>
    </row>
    <row r="25" spans="1:3" x14ac:dyDescent="0.25">
      <c r="A25" s="4" t="s">
        <v>4</v>
      </c>
      <c r="B25" s="5" t="str">
        <f>HYPERLINK("..\subset puntuacion\Bent Knee Vertical\IMG_1306.JPG", "Ver Foto")</f>
        <v>Ver Foto</v>
      </c>
      <c r="C25" s="4">
        <v>4.2</v>
      </c>
    </row>
    <row r="26" spans="1:3" x14ac:dyDescent="0.25">
      <c r="A26" s="4" t="s">
        <v>4</v>
      </c>
      <c r="B26" s="5" t="str">
        <f>HYPERLINK("..\subset puntuacion\Bent Knee Vertical\IMG_1311.JPG", "Ver Foto")</f>
        <v>Ver Foto</v>
      </c>
      <c r="C26" s="4">
        <v>5</v>
      </c>
    </row>
    <row r="27" spans="1:3" x14ac:dyDescent="0.25">
      <c r="A27" s="4" t="s">
        <v>4</v>
      </c>
      <c r="B27" s="5" t="str">
        <f>HYPERLINK("..\subset puntuacion\Bent Knee Vertical\IMG_1313.JPG", "Ver Foto")</f>
        <v>Ver Foto</v>
      </c>
      <c r="C27" s="4">
        <v>6.2</v>
      </c>
    </row>
    <row r="28" spans="1:3" x14ac:dyDescent="0.25">
      <c r="A28" s="4" t="s">
        <v>4</v>
      </c>
      <c r="B28" s="5" t="str">
        <f>HYPERLINK("..\subset puntuacion\Bent Knee Vertical\IMG_1316.JPG", "Ver Foto")</f>
        <v>Ver Foto</v>
      </c>
      <c r="C28" s="4">
        <v>6.4</v>
      </c>
    </row>
    <row r="29" spans="1:3" x14ac:dyDescent="0.25">
      <c r="A29" s="4" t="s">
        <v>4</v>
      </c>
      <c r="B29" s="5" t="str">
        <f>HYPERLINK("..\subset puntuacion\Bent Knee Vertical\IMG_1319.JPG", "Ver Foto")</f>
        <v>Ver Foto</v>
      </c>
      <c r="C29" s="4">
        <v>7.3</v>
      </c>
    </row>
    <row r="30" spans="1:3" x14ac:dyDescent="0.25">
      <c r="A30" s="4" t="s">
        <v>4</v>
      </c>
      <c r="B30" s="5" t="str">
        <f>HYPERLINK("..\subset puntuacion\Bent Knee Vertical\IMG_1458.JPG", "Ver Foto")</f>
        <v>Ver Foto</v>
      </c>
      <c r="C30" s="4">
        <v>3.5</v>
      </c>
    </row>
    <row r="31" spans="1:3" x14ac:dyDescent="0.25">
      <c r="A31" s="4" t="s">
        <v>4</v>
      </c>
      <c r="B31" s="5" t="str">
        <f>HYPERLINK("..\subset puntuacion\Bent Knee Vertical\IMG_1459.JPG", "Ver Foto")</f>
        <v>Ver Foto</v>
      </c>
      <c r="C31" s="4">
        <v>2.7</v>
      </c>
    </row>
    <row r="32" spans="1:3" x14ac:dyDescent="0.25">
      <c r="A32" s="4" t="s">
        <v>4</v>
      </c>
      <c r="B32" s="5" t="str">
        <f>HYPERLINK("..\subset puntuacion\Bent Knee Vertical\IMG_1463.JPG", "Ver Foto")</f>
        <v>Ver Foto</v>
      </c>
      <c r="C32" s="4">
        <v>5.2</v>
      </c>
    </row>
    <row r="33" spans="1:3" x14ac:dyDescent="0.25">
      <c r="A33" s="4" t="s">
        <v>4</v>
      </c>
      <c r="B33" s="5" t="str">
        <f>HYPERLINK("..\subset puntuacion\Bent Knee Vertical\IMG_1464.JPG", "Ver Foto")</f>
        <v>Ver Foto</v>
      </c>
      <c r="C33" s="4">
        <v>5.5</v>
      </c>
    </row>
    <row r="34" spans="1:3" x14ac:dyDescent="0.25">
      <c r="A34" s="4" t="s">
        <v>4</v>
      </c>
      <c r="B34" s="5" t="str">
        <f>HYPERLINK("..\subset puntuacion\Bent Knee Vertical\IMG_1467.JPG", "Ver Foto")</f>
        <v>Ver Foto</v>
      </c>
      <c r="C34" s="4">
        <v>6</v>
      </c>
    </row>
    <row r="35" spans="1:3" x14ac:dyDescent="0.25">
      <c r="A35" s="7" t="s">
        <v>5</v>
      </c>
      <c r="B35" s="6" t="str">
        <f>HYPERLINK("..\subset puntuacion\Double Leg Vertical\IMG_1250.JPG", "Ver Foto")</f>
        <v>Ver Foto</v>
      </c>
      <c r="C35" s="7">
        <v>5.2</v>
      </c>
    </row>
    <row r="36" spans="1:3" x14ac:dyDescent="0.25">
      <c r="A36" s="7" t="s">
        <v>5</v>
      </c>
      <c r="B36" s="6" t="str">
        <f>HYPERLINK("..\subset puntuacion\Double Leg Vertical\IMG_1251.JPG", "Ver Foto")</f>
        <v>Ver Foto</v>
      </c>
      <c r="C36" s="7">
        <v>3.5</v>
      </c>
    </row>
    <row r="37" spans="1:3" x14ac:dyDescent="0.25">
      <c r="A37" s="7" t="s">
        <v>5</v>
      </c>
      <c r="B37" s="6" t="str">
        <f>HYPERLINK("..\subset puntuacion\Double Leg Vertical\IMG_1253.JPG", "Ver Foto")</f>
        <v>Ver Foto</v>
      </c>
      <c r="C37" s="7">
        <v>6.2</v>
      </c>
    </row>
    <row r="38" spans="1:3" x14ac:dyDescent="0.25">
      <c r="A38" s="7" t="s">
        <v>5</v>
      </c>
      <c r="B38" s="6" t="str">
        <f>HYPERLINK("..\subset puntuacion\Double Leg Vertical\IMG_1256.JPG", "Ver Foto")</f>
        <v>Ver Foto</v>
      </c>
      <c r="C38" s="7">
        <v>6</v>
      </c>
    </row>
    <row r="39" spans="1:3" x14ac:dyDescent="0.25">
      <c r="A39" s="7" t="s">
        <v>5</v>
      </c>
      <c r="B39" s="6" t="str">
        <f>HYPERLINK("..\subset puntuacion\Double Leg Vertical\IMG_1257.JPG", "Ver Foto")</f>
        <v>Ver Foto</v>
      </c>
      <c r="C39" s="7">
        <v>5.7</v>
      </c>
    </row>
    <row r="40" spans="1:3" x14ac:dyDescent="0.25">
      <c r="A40" s="7" t="s">
        <v>5</v>
      </c>
      <c r="B40" s="6" t="str">
        <f>HYPERLINK("..\subset puntuacion\Double Leg Vertical\IMG_1260.JPG", "Ver Foto")</f>
        <v>Ver Foto</v>
      </c>
      <c r="C40" s="7">
        <v>6.5</v>
      </c>
    </row>
    <row r="41" spans="1:3" x14ac:dyDescent="0.25">
      <c r="A41" s="7" t="s">
        <v>5</v>
      </c>
      <c r="B41" s="6" t="str">
        <f>HYPERLINK("..\subset puntuacion\Double Leg Vertical\IMG_1261.JPG", "Ver Foto")</f>
        <v>Ver Foto</v>
      </c>
      <c r="C41" s="7">
        <v>7.5</v>
      </c>
    </row>
    <row r="42" spans="1:3" x14ac:dyDescent="0.25">
      <c r="A42" s="7" t="s">
        <v>5</v>
      </c>
      <c r="B42" s="6" t="str">
        <f>HYPERLINK("..\subset puntuacion\Double Leg Vertical\IMG_1265.JPG", "Ver Foto")</f>
        <v>Ver Foto</v>
      </c>
      <c r="C42" s="7">
        <v>9.5</v>
      </c>
    </row>
    <row r="43" spans="1:3" x14ac:dyDescent="0.25">
      <c r="A43" s="7" t="s">
        <v>5</v>
      </c>
      <c r="B43" s="6" t="str">
        <f>HYPERLINK("..\subset puntuacion\Double Leg Vertical\IMG_1287.JPG", "Ver Foto")</f>
        <v>Ver Foto</v>
      </c>
      <c r="C43" s="7">
        <v>2.5</v>
      </c>
    </row>
    <row r="44" spans="1:3" x14ac:dyDescent="0.25">
      <c r="A44" s="7" t="s">
        <v>5</v>
      </c>
      <c r="B44" s="6" t="str">
        <f>HYPERLINK("..\subset puntuacion\Double Leg Vertical\IMG_1289.JPG", "Ver Foto")</f>
        <v>Ver Foto</v>
      </c>
      <c r="C44" s="7">
        <v>3</v>
      </c>
    </row>
    <row r="45" spans="1:3" x14ac:dyDescent="0.25">
      <c r="A45" s="7" t="s">
        <v>5</v>
      </c>
      <c r="B45" s="6" t="str">
        <f>HYPERLINK("..\subset puntuacion\Double Leg Vertical\IMG_1292.JPG", "Ver Foto")</f>
        <v>Ver Foto</v>
      </c>
      <c r="C45" s="7">
        <v>3.7</v>
      </c>
    </row>
    <row r="46" spans="1:3" x14ac:dyDescent="0.25">
      <c r="A46" s="7" t="s">
        <v>5</v>
      </c>
      <c r="B46" s="6" t="str">
        <f>HYPERLINK("..\subset puntuacion\Double Leg Vertical\IMG_1294.JPG", "Ver Foto")</f>
        <v>Ver Foto</v>
      </c>
      <c r="C46" s="7">
        <v>5.7</v>
      </c>
    </row>
    <row r="47" spans="1:3" x14ac:dyDescent="0.25">
      <c r="A47" s="7" t="s">
        <v>5</v>
      </c>
      <c r="B47" s="6" t="str">
        <f>HYPERLINK("..\subset puntuacion\Double Leg Vertical\IMG_1296.JPG", "Ver Foto")</f>
        <v>Ver Foto</v>
      </c>
      <c r="C47" s="7">
        <v>5.7</v>
      </c>
    </row>
    <row r="48" spans="1:3" x14ac:dyDescent="0.25">
      <c r="A48" s="7" t="s">
        <v>5</v>
      </c>
      <c r="B48" s="6" t="str">
        <f>HYPERLINK("..\subset puntuacion\Double Leg Vertical\IMG_1298.JPG", "Ver Foto")</f>
        <v>Ver Foto</v>
      </c>
      <c r="C48" s="7">
        <v>6</v>
      </c>
    </row>
    <row r="49" spans="1:3" x14ac:dyDescent="0.25">
      <c r="A49" s="7" t="s">
        <v>5</v>
      </c>
      <c r="B49" s="6" t="str">
        <f>HYPERLINK("..\subset puntuacion\Double Leg Vertical\IMG_1300.JPG", "Ver Foto")</f>
        <v>Ver Foto</v>
      </c>
      <c r="C49" s="7">
        <v>6.2</v>
      </c>
    </row>
    <row r="50" spans="1:3" x14ac:dyDescent="0.25">
      <c r="A50" s="7" t="s">
        <v>5</v>
      </c>
      <c r="B50" s="6" t="str">
        <f>HYPERLINK("..\subset puntuacion\Double Leg Vertical\IMG_1443.JPG", "Ver Foto")</f>
        <v>Ver Foto</v>
      </c>
      <c r="C50" s="7">
        <v>2.8</v>
      </c>
    </row>
    <row r="51" spans="1:3" x14ac:dyDescent="0.25">
      <c r="A51" s="7" t="s">
        <v>5</v>
      </c>
      <c r="B51" s="6" t="str">
        <f>HYPERLINK("..\subset puntuacion\Double Leg Vertical\IMG_1448.JPG", "Ver Foto")</f>
        <v>Ver Foto</v>
      </c>
      <c r="C51" s="7">
        <v>4.8</v>
      </c>
    </row>
    <row r="52" spans="1:3" x14ac:dyDescent="0.25">
      <c r="A52" s="7" t="s">
        <v>5</v>
      </c>
      <c r="B52" s="6" t="str">
        <f>HYPERLINK("..\subset puntuacion\Double Leg Vertical\IMG_1449.JPG", "Ver Foto")</f>
        <v>Ver Foto</v>
      </c>
      <c r="C52" s="7">
        <v>5</v>
      </c>
    </row>
    <row r="53" spans="1:3" x14ac:dyDescent="0.25">
      <c r="A53" s="7" t="s">
        <v>5</v>
      </c>
      <c r="B53" s="6" t="str">
        <f>HYPERLINK("..\subset puntuacion\Double Leg Vertical\IMG_1451.JPG", "Ver Foto")</f>
        <v>Ver Foto</v>
      </c>
      <c r="C53" s="7">
        <v>5.4</v>
      </c>
    </row>
    <row r="54" spans="1:3" x14ac:dyDescent="0.25">
      <c r="A54" s="7" t="s">
        <v>5</v>
      </c>
      <c r="B54" s="6" t="str">
        <f>HYPERLINK("..\subset puntuacion\Double Leg Vertical\IMG_1453.JPG", "Ver Foto")</f>
        <v>Ver Foto</v>
      </c>
      <c r="C54" s="7">
        <v>6.6</v>
      </c>
    </row>
    <row r="55" spans="1:3" x14ac:dyDescent="0.25">
      <c r="A55" s="9" t="s">
        <v>6</v>
      </c>
      <c r="B55" s="8" t="str">
        <f>HYPERLINK("..\subset puntuacion\Fishtail\IMG_1322.JPG", "Ver Foto")</f>
        <v>Ver Foto</v>
      </c>
      <c r="C55" s="9">
        <v>3</v>
      </c>
    </row>
    <row r="56" spans="1:3" x14ac:dyDescent="0.25">
      <c r="A56" s="9" t="s">
        <v>6</v>
      </c>
      <c r="B56" s="8" t="str">
        <f>HYPERLINK("..\subset puntuacion\Fishtail\IMG_1325.JPG", "Ver Foto")</f>
        <v>Ver Foto</v>
      </c>
      <c r="C56" s="9">
        <v>4</v>
      </c>
    </row>
    <row r="57" spans="1:3" x14ac:dyDescent="0.25">
      <c r="A57" s="9" t="s">
        <v>6</v>
      </c>
      <c r="B57" s="8" t="str">
        <f>HYPERLINK("..\subset puntuacion\Fishtail\IMG_1329.JPG", "Ver Foto")</f>
        <v>Ver Foto</v>
      </c>
      <c r="C57" s="9">
        <v>4</v>
      </c>
    </row>
    <row r="58" spans="1:3" x14ac:dyDescent="0.25">
      <c r="A58" s="9" t="s">
        <v>6</v>
      </c>
      <c r="B58" s="8" t="str">
        <f>HYPERLINK("..\subset puntuacion\Fishtail\IMG_1330.JPG", "Ver Foto")</f>
        <v>Ver Foto</v>
      </c>
      <c r="C58" s="9">
        <v>6</v>
      </c>
    </row>
    <row r="59" spans="1:3" x14ac:dyDescent="0.25">
      <c r="A59" s="9" t="s">
        <v>6</v>
      </c>
      <c r="B59" s="8" t="str">
        <f>HYPERLINK("..\subset puntuacion\Fishtail\IMG_1332.JPG", "Ver Foto")</f>
        <v>Ver Foto</v>
      </c>
      <c r="C59" s="9">
        <v>6.5</v>
      </c>
    </row>
    <row r="60" spans="1:3" x14ac:dyDescent="0.25">
      <c r="A60" s="9" t="s">
        <v>6</v>
      </c>
      <c r="B60" s="8" t="str">
        <f>HYPERLINK("..\subset puntuacion\Fishtail\IMG_1335.JPG", "Ver Foto")</f>
        <v>Ver Foto</v>
      </c>
      <c r="C60" s="9">
        <v>7.5</v>
      </c>
    </row>
    <row r="61" spans="1:3" x14ac:dyDescent="0.25">
      <c r="A61" s="9" t="s">
        <v>6</v>
      </c>
      <c r="B61" s="8" t="str">
        <f>HYPERLINK("..\subset puntuacion\Fishtail\IMG_1337.JPG", "Ver Foto")</f>
        <v>Ver Foto</v>
      </c>
      <c r="C61" s="9">
        <v>8.5</v>
      </c>
    </row>
    <row r="62" spans="1:3" x14ac:dyDescent="0.25">
      <c r="A62" s="9" t="s">
        <v>6</v>
      </c>
      <c r="B62" s="8" t="str">
        <f>HYPERLINK("..\subset puntuacion\Fishtail\IMG_1345.JPG", "Ver Foto")</f>
        <v>Ver Foto</v>
      </c>
      <c r="C62" s="9">
        <v>4.2</v>
      </c>
    </row>
    <row r="63" spans="1:3" x14ac:dyDescent="0.25">
      <c r="A63" s="9" t="s">
        <v>6</v>
      </c>
      <c r="B63" s="8" t="str">
        <f>HYPERLINK("..\subset puntuacion\Fishtail\IMG_1348.JPG", "Ver Foto")</f>
        <v>Ver Foto</v>
      </c>
      <c r="C63" s="9">
        <v>5.2</v>
      </c>
    </row>
    <row r="64" spans="1:3" x14ac:dyDescent="0.25">
      <c r="A64" s="9" t="s">
        <v>6</v>
      </c>
      <c r="B64" s="8" t="str">
        <f>HYPERLINK("..\subset puntuacion\Fishtail\IMG_1351.JPG", "Ver Foto")</f>
        <v>Ver Foto</v>
      </c>
      <c r="C64" s="9">
        <v>6.6</v>
      </c>
    </row>
    <row r="65" spans="1:3" x14ac:dyDescent="0.25">
      <c r="A65" s="9" t="s">
        <v>6</v>
      </c>
      <c r="B65" s="8" t="str">
        <f>HYPERLINK("..\subset puntuacion\Fishtail\IMG_1353.JPG", "Ver Foto")</f>
        <v>Ver Foto</v>
      </c>
      <c r="C65" s="9">
        <v>6</v>
      </c>
    </row>
    <row r="66" spans="1:3" x14ac:dyDescent="0.25">
      <c r="A66" s="9" t="s">
        <v>6</v>
      </c>
      <c r="B66" s="8" t="str">
        <f>HYPERLINK("..\subset puntuacion\Fishtail\IMG_1358.JPG", "Ver Foto")</f>
        <v>Ver Foto</v>
      </c>
      <c r="C66" s="9">
        <v>8</v>
      </c>
    </row>
    <row r="67" spans="1:3" x14ac:dyDescent="0.25">
      <c r="A67" s="9" t="s">
        <v>6</v>
      </c>
      <c r="B67" s="8" t="str">
        <f>HYPERLINK("..\subset puntuacion\Fishtail\IMG_1477.JPG", "Ver Foto")</f>
        <v>Ver Foto</v>
      </c>
      <c r="C67" s="9">
        <v>3.3</v>
      </c>
    </row>
    <row r="68" spans="1:3" x14ac:dyDescent="0.25">
      <c r="A68" s="9" t="s">
        <v>6</v>
      </c>
      <c r="B68" s="8" t="str">
        <f>HYPERLINK("..\subset puntuacion\Fishtail\IMG_1479.JPG", "Ver Foto")</f>
        <v>Ver Foto</v>
      </c>
      <c r="C68" s="9">
        <v>4.5</v>
      </c>
    </row>
    <row r="69" spans="1:3" x14ac:dyDescent="0.25">
      <c r="A69" s="9" t="s">
        <v>6</v>
      </c>
      <c r="B69" s="8" t="str">
        <f>HYPERLINK("..\subset puntuacion\Fishtail\IMG_1480.JPG", "Ver Foto")</f>
        <v>Ver Foto</v>
      </c>
      <c r="C69" s="9">
        <v>6</v>
      </c>
    </row>
    <row r="70" spans="1:3" x14ac:dyDescent="0.25">
      <c r="A70" s="9" t="s">
        <v>6</v>
      </c>
      <c r="B70" s="8" t="str">
        <f>HYPERLINK("..\subset puntuacion\Fishtail\IMG_1482.JPG", "Ver Foto")</f>
        <v>Ver Foto</v>
      </c>
      <c r="C70" s="9">
        <v>6.3</v>
      </c>
    </row>
    <row r="71" spans="1:3" x14ac:dyDescent="0.25">
      <c r="A71" s="9" t="s">
        <v>6</v>
      </c>
      <c r="B71" s="8" t="str">
        <f>HYPERLINK("..\subset puntuacion\Fishtail\IMG_1484.JPG", "Ver Foto")</f>
        <v>Ver Foto</v>
      </c>
      <c r="C71" s="9">
        <v>7</v>
      </c>
    </row>
    <row r="72" spans="1:3" x14ac:dyDescent="0.25">
      <c r="A72" s="9" t="s">
        <v>6</v>
      </c>
      <c r="B72" s="8" t="str">
        <f>HYPERLINK("..\subset puntuacion\Fishtail\IMG_1486.JPG", "Ver Foto")</f>
        <v>Ver Foto</v>
      </c>
      <c r="C72" s="9">
        <v>6.7</v>
      </c>
    </row>
    <row r="73" spans="1:3" x14ac:dyDescent="0.25">
      <c r="A73" s="9" t="s">
        <v>6</v>
      </c>
      <c r="B73" s="8" t="str">
        <f>HYPERLINK("..\subset puntuacion\Fishtail\IMG_1487.JPG", "Ver Foto")</f>
        <v>Ver Foto</v>
      </c>
      <c r="C73" s="9">
        <v>7</v>
      </c>
    </row>
    <row r="74" spans="1:3" x14ac:dyDescent="0.25">
      <c r="A74" s="9" t="s">
        <v>6</v>
      </c>
      <c r="B74" s="8" t="str">
        <f>HYPERLINK("..\subset puntuacion\Fishtail\IMG_1488.JPG", "Ver Foto")</f>
        <v>Ver Foto</v>
      </c>
      <c r="C74" s="9">
        <v>7.3</v>
      </c>
    </row>
    <row r="75" spans="1:3" x14ac:dyDescent="0.25">
      <c r="A75" s="11" t="s">
        <v>7</v>
      </c>
      <c r="B75" s="10" t="str">
        <f>HYPERLINK("..\subset puntuacion\Knight\IMG_1364.JPG", "Ver Foto")</f>
        <v>Ver Foto</v>
      </c>
      <c r="C75" s="11">
        <v>3</v>
      </c>
    </row>
    <row r="76" spans="1:3" x14ac:dyDescent="0.25">
      <c r="A76" s="11" t="s">
        <v>7</v>
      </c>
      <c r="B76" s="10" t="str">
        <f>HYPERLINK("..\subset puntuacion\Knight\IMG_1365.JPG", "Ver Foto")</f>
        <v>Ver Foto</v>
      </c>
      <c r="C76" s="11">
        <v>3.4</v>
      </c>
    </row>
    <row r="77" spans="1:3" x14ac:dyDescent="0.25">
      <c r="A77" s="11" t="s">
        <v>7</v>
      </c>
      <c r="B77" s="10" t="str">
        <f>HYPERLINK("..\subset puntuacion\Knight\IMG_1370.JPG", "Ver Foto")</f>
        <v>Ver Foto</v>
      </c>
      <c r="C77" s="11">
        <v>5.3</v>
      </c>
    </row>
    <row r="78" spans="1:3" x14ac:dyDescent="0.25">
      <c r="A78" s="11" t="s">
        <v>7</v>
      </c>
      <c r="B78" s="10" t="str">
        <f>HYPERLINK("..\subset puntuacion\Knight\IMG_1376.JPG", "Ver Foto")</f>
        <v>Ver Foto</v>
      </c>
      <c r="C78" s="11">
        <v>6</v>
      </c>
    </row>
    <row r="79" spans="1:3" x14ac:dyDescent="0.25">
      <c r="A79" s="11" t="s">
        <v>7</v>
      </c>
      <c r="B79" s="10" t="str">
        <f>HYPERLINK("..\subset puntuacion\Knight\IMG_1377.JPG", "Ver Foto")</f>
        <v>Ver Foto</v>
      </c>
      <c r="C79" s="11">
        <v>6.3</v>
      </c>
    </row>
    <row r="80" spans="1:3" x14ac:dyDescent="0.25">
      <c r="A80" s="11" t="s">
        <v>7</v>
      </c>
      <c r="B80" s="10" t="str">
        <f>HYPERLINK("..\subset puntuacion\Knight\IMG_1380.JPG", "Ver Foto")</f>
        <v>Ver Foto</v>
      </c>
      <c r="C80" s="11">
        <v>8.5</v>
      </c>
    </row>
    <row r="81" spans="1:3" x14ac:dyDescent="0.25">
      <c r="A81" s="11" t="s">
        <v>7</v>
      </c>
      <c r="B81" s="10" t="str">
        <f>HYPERLINK("..\subset puntuacion\Knight\IMG_1382.JPG", "Ver Foto")</f>
        <v>Ver Foto</v>
      </c>
      <c r="C81" s="11">
        <v>9</v>
      </c>
    </row>
    <row r="82" spans="1:3" x14ac:dyDescent="0.25">
      <c r="A82" s="11" t="s">
        <v>7</v>
      </c>
      <c r="B82" s="10" t="str">
        <f>HYPERLINK("..\subset puntuacion\Knight\IMG_1386.JPG", "Ver Foto")</f>
        <v>Ver Foto</v>
      </c>
      <c r="C82" s="11">
        <v>9.5</v>
      </c>
    </row>
    <row r="83" spans="1:3" x14ac:dyDescent="0.25">
      <c r="A83" s="11" t="s">
        <v>7</v>
      </c>
      <c r="B83" s="10" t="str">
        <f>HYPERLINK("..\subset puntuacion\Knight\IMG_1402.JPG", "Ver Foto")</f>
        <v>Ver Foto</v>
      </c>
      <c r="C83" s="11">
        <v>2.5</v>
      </c>
    </row>
    <row r="84" spans="1:3" x14ac:dyDescent="0.25">
      <c r="A84" s="11" t="s">
        <v>7</v>
      </c>
      <c r="B84" s="10" t="str">
        <f>HYPERLINK("..\subset puntuacion\Knight\IMG_1410.JPG", "Ver Foto")</f>
        <v>Ver Foto</v>
      </c>
      <c r="C84" s="11">
        <v>6.4</v>
      </c>
    </row>
    <row r="85" spans="1:3" x14ac:dyDescent="0.25">
      <c r="A85" s="11" t="s">
        <v>7</v>
      </c>
      <c r="B85" s="10" t="str">
        <f>HYPERLINK("..\subset puntuacion\Knight\IMG_1414.JPG", "Ver Foto")</f>
        <v>Ver Foto</v>
      </c>
      <c r="C85" s="11">
        <v>6</v>
      </c>
    </row>
    <row r="86" spans="1:3" x14ac:dyDescent="0.25">
      <c r="A86" s="11" t="s">
        <v>7</v>
      </c>
      <c r="B86" s="10" t="str">
        <f>HYPERLINK("..\subset puntuacion\Knight\IMG_1415.JPG", "Ver Foto")</f>
        <v>Ver Foto</v>
      </c>
      <c r="C86" s="11">
        <v>7.2</v>
      </c>
    </row>
    <row r="87" spans="1:3" x14ac:dyDescent="0.25">
      <c r="A87" s="11" t="s">
        <v>7</v>
      </c>
      <c r="B87" s="10" t="str">
        <f>HYPERLINK("..\subset puntuacion\Knight\IMG_1417.JPG", "Ver Foto")</f>
        <v>Ver Foto</v>
      </c>
      <c r="C87" s="11">
        <v>7.4</v>
      </c>
    </row>
    <row r="88" spans="1:3" x14ac:dyDescent="0.25">
      <c r="A88" s="11" t="s">
        <v>7</v>
      </c>
      <c r="B88" s="10" t="str">
        <f>HYPERLINK("..\subset puntuacion\Knight\IMG_1492.JPG", "Ver Foto")</f>
        <v>Ver Foto</v>
      </c>
      <c r="C88" s="11">
        <v>4.5</v>
      </c>
    </row>
    <row r="89" spans="1:3" x14ac:dyDescent="0.25">
      <c r="A89" s="11" t="s">
        <v>7</v>
      </c>
      <c r="B89" s="10" t="str">
        <f>HYPERLINK("..\subset puntuacion\Knight\IMG_1495.JPG", "Ver Foto")</f>
        <v>Ver Foto</v>
      </c>
      <c r="C89" s="11">
        <v>4</v>
      </c>
    </row>
    <row r="90" spans="1:3" x14ac:dyDescent="0.25">
      <c r="A90" s="11" t="s">
        <v>7</v>
      </c>
      <c r="B90" s="10" t="str">
        <f>HYPERLINK("..\subset puntuacion\Knight\IMG_1499.JPG", "Ver Foto")</f>
        <v>Ver Foto</v>
      </c>
      <c r="C90" s="11">
        <v>6</v>
      </c>
    </row>
    <row r="91" spans="1:3" x14ac:dyDescent="0.25">
      <c r="A91" s="11" t="s">
        <v>7</v>
      </c>
      <c r="B91" s="10" t="str">
        <f>HYPERLINK("..\subset puntuacion\Knight\IMG_1501.JPG", "Ver Foto")</f>
        <v>Ver Foto</v>
      </c>
      <c r="C91" s="11">
        <v>6.5</v>
      </c>
    </row>
    <row r="92" spans="1:3" x14ac:dyDescent="0.25">
      <c r="A92" s="11" t="s">
        <v>7</v>
      </c>
      <c r="B92" s="10" t="str">
        <f>HYPERLINK("..\subset puntuacion\Knight\IMG_1505.JPG", "Ver Foto")</f>
        <v>Ver Foto</v>
      </c>
      <c r="C92" s="11">
        <v>6.3</v>
      </c>
    </row>
    <row r="93" spans="1:3" x14ac:dyDescent="0.25">
      <c r="A93" s="11" t="s">
        <v>7</v>
      </c>
      <c r="B93" s="10" t="str">
        <f>HYPERLINK("..\subset puntuacion\Knight\IMG_1506.JPG", "Ver Foto")</f>
        <v>Ver Foto</v>
      </c>
      <c r="C93" s="11">
        <v>8.5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Esther Garcia Gomez</cp:lastModifiedBy>
  <dcterms:created xsi:type="dcterms:W3CDTF">2026-05-10T17:07:03Z</dcterms:created>
  <dcterms:modified xsi:type="dcterms:W3CDTF">2026-06-02T14:11:08Z</dcterms:modified>
</cp:coreProperties>
</file>